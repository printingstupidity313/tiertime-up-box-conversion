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<sst xmlns="http://schemas.openxmlformats.org/spreadsheetml/2006/main" count="125" uniqueCount="85">
  <si>
    <t xml:space="preserve">Item</t>
  </si>
  <si>
    <t xml:space="preserve">Recommended Source</t>
  </si>
  <si>
    <t xml:space="preserve">Link</t>
  </si>
  <si>
    <t xml:space="preserve">Price (AUD)</t>
  </si>
  <si>
    <t xml:space="preserve">Qty</t>
  </si>
  <si>
    <t xml:space="preserve">Line Total</t>
  </si>
  <si>
    <t xml:space="preserve">Notes</t>
  </si>
  <si>
    <t xml:space="preserve">Mellow Fly D5 motherboard</t>
  </si>
  <si>
    <t xml:space="preserve">AliExpress (Mellow 3D Official Store)</t>
  </si>
  <si>
    <t xml:space="preserve">https://mellow.aliexpress.com/store/group/FLY-Board/1531088_10000001215764.html</t>
  </si>
  <si>
    <t xml:space="preserve">TBC</t>
  </si>
  <si>
    <t xml:space="preserve">Confirm current AUD price/shipping at checkout</t>
  </si>
  <si>
    <t xml:space="preserve">Ender 3 hotend</t>
  </si>
  <si>
    <t xml:space="preserve">AliExpress</t>
  </si>
  <si>
    <t xml:space="preserve">https://www.aliexpress.com/w/wholesale-ender-3-hotend.html</t>
  </si>
  <si>
    <t xml:space="preserve">Search result — pick a specific listing; 2x needed (one per printer)</t>
  </si>
  <si>
    <t xml:space="preserve">200x200 build plate heater</t>
  </si>
  <si>
    <t xml:space="preserve">https://www.aliexpress.com/w/wholesale-200x200-heated-bed.html</t>
  </si>
  <si>
    <t xml:space="preserve">Match voltage (12V/24V) to your PSU</t>
  </si>
  <si>
    <t xml:space="preserve">MOSFET 24A (heated bed power module)</t>
  </si>
  <si>
    <t xml:space="preserve">eBay Australia</t>
  </si>
  <si>
    <t xml:space="preserve">https://www.ebay.com.au/itm/134303881377</t>
  </si>
  <si>
    <t xml:space="preserve">12-24V hot bed MOSFET module, AU listing</t>
  </si>
  <si>
    <t xml:space="preserve">Wire, general purpose, 15m</t>
  </si>
  <si>
    <t xml:space="preserve">Jaycar</t>
  </si>
  <si>
    <t xml:space="preserve">https://www.jaycar.com.au/wire-cable/hook-up-wire</t>
  </si>
  <si>
    <t xml:space="preserve">Category page - pick gauge/colour</t>
  </si>
  <si>
    <t xml:space="preserve">Raspberry Pi Zero W</t>
  </si>
  <si>
    <t xml:space="preserve">https://www.ebay.com.au/sch/i.html?_nkw=raspberry+pi+zero+w</t>
  </si>
  <si>
    <t xml:space="preserve">Discontinued at Core Electronics - Pi Zero 2 W in stock there instead</t>
  </si>
  <si>
    <t xml:space="preserve">Webcam, Logitech 720p</t>
  </si>
  <si>
    <t xml:space="preserve">https://www.ebay.com.au/sch/i.html?_nkw=logitech+c270+720p+webcam</t>
  </si>
  <si>
    <t xml:space="preserve">Logitech C270 is the common 720p model</t>
  </si>
  <si>
    <t xml:space="preserve">PTFE tube + couplers</t>
  </si>
  <si>
    <t xml:space="preserve">https://www.aliexpress.com/w/wholesale-ptfe-tube-3d-printer-coupler.html</t>
  </si>
  <si>
    <t xml:space="preserve">Bowden-style - confirm OD/ID matches your extruder</t>
  </si>
  <si>
    <t xml:space="preserve">JST XH connectors (kit)</t>
  </si>
  <si>
    <t xml:space="preserve">https://www.aliexpress.com/w/wholesale-jst-xh-connector-kit.html</t>
  </si>
  <si>
    <t xml:space="preserve">Get an assorted-pin kit</t>
  </si>
  <si>
    <t xml:space="preserve">400W 24V LED power supply</t>
  </si>
  <si>
    <t xml:space="preserve">https://www.ebay.com.au/shop/led-power-supply?_nkw=led+power+supply</t>
  </si>
  <si>
    <t xml:space="preserve">Confirm input 220-240V AC and IP rating needed</t>
  </si>
  <si>
    <t xml:space="preserve">Bambu P1S build plate</t>
  </si>
  <si>
    <t xml:space="preserve">https://www.aliexpress.com/w/wholesale-bambu-p1s-build-plate.html</t>
  </si>
  <si>
    <t xml:space="preserve">Check compatible plate size for your build</t>
  </si>
  <si>
    <t xml:space="preserve">300x300 steel plate, 2mm</t>
  </si>
  <si>
    <t xml:space="preserve">https://www.aliexpress.com/w/wholesale-300x300-spring-steel-sheet.html</t>
  </si>
  <si>
    <t xml:space="preserve">Spring steel PEI sheet - confirm magnetic base compatibility</t>
  </si>
  <si>
    <t xml:space="preserve">1kg filament</t>
  </si>
  <si>
    <t xml:space="preserve">https://www.aliexpress.com/w/wholesale-1kg-pla-filament.html</t>
  </si>
  <si>
    <t xml:space="preserve">Choose material (PLA/PETG/ABS) and colour</t>
  </si>
  <si>
    <t xml:space="preserve">Zip ties, 100 pack</t>
  </si>
  <si>
    <t xml:space="preserve">https://www.jaycar.com.au/cable-ties</t>
  </si>
  <si>
    <t xml:space="preserve">Category page - pick length</t>
  </si>
  <si>
    <t xml:space="preserve">M3 screws, 25 pack</t>
  </si>
  <si>
    <t xml:space="preserve">https://www.jaycar.com.au/m3-x-15mm-steel-screws-pack-of-25/p/HP0406</t>
  </si>
  <si>
    <t xml:space="preserve">M3 x 15mm steel screws, pack of 25</t>
  </si>
  <si>
    <t xml:space="preserve">M4 screws, 25 pack</t>
  </si>
  <si>
    <t xml:space="preserve">https://www.jaycar.com.au/15mm-x-m4-round-phillips-head-steel-screws-pack-of-25/p/HP0453</t>
  </si>
  <si>
    <t xml:space="preserve">M4 x 15mm round Phillips head, pack of 25</t>
  </si>
  <si>
    <t xml:space="preserve">M5 screws, 25 pack</t>
  </si>
  <si>
    <t xml:space="preserve">https://www.jaycar.com.au/screws-fasteners</t>
  </si>
  <si>
    <t xml:space="preserve">Confirm exact M5 pack on site - fewer M5 options stocked</t>
  </si>
  <si>
    <t xml:space="preserve">RJ45 to USB adapter</t>
  </si>
  <si>
    <t xml:space="preserve">https://www.ebay.com.au/sch/i.html?_nkw=rj45+to+usb+adapter</t>
  </si>
  <si>
    <t xml:space="preserve">Confirm Ethernet-to-USB direction needed</t>
  </si>
  <si>
    <t xml:space="preserve">USB hub</t>
  </si>
  <si>
    <t xml:space="preserve">https://www.ebay.com.au/sch/i.html?_nkw=usb+hub</t>
  </si>
  <si>
    <t xml:space="preserve">Powered hub recommended for Pi Zero + webcam</t>
  </si>
  <si>
    <t xml:space="preserve">Micro USB to USB adapter</t>
  </si>
  <si>
    <t xml:space="preserve">https://www.jaycar.com.au/micro-usb-to-usb</t>
  </si>
  <si>
    <t xml:space="preserve">OTG adapter for Pi Zero</t>
  </si>
  <si>
    <t xml:space="preserve">32GB SD card</t>
  </si>
  <si>
    <t xml:space="preserve">Core Electronics</t>
  </si>
  <si>
    <t xml:space="preserve">https://core-electronics.com.au/catalogsearch/result/?q=32gb+microsd</t>
  </si>
  <si>
    <t xml:space="preserve">Class 10 / A1 recommended for OctoPrint</t>
  </si>
  <si>
    <t xml:space="preserve">Wire nuts / electrical tape</t>
  </si>
  <si>
    <t xml:space="preserve">https://www.jaycar.com.au/wire-connectors</t>
  </si>
  <si>
    <t xml:space="preserve">Category page - pick specific pack</t>
  </si>
  <si>
    <t xml:space="preserve">USB-C cable, 3 pack</t>
  </si>
  <si>
    <t xml:space="preserve">https://www.ebay.com.au/sch/i.html?_nkw=usb-c+cable+3+pack</t>
  </si>
  <si>
    <t xml:space="preserve">LED strip, 2m</t>
  </si>
  <si>
    <t xml:space="preserve">https://www.aliexpress.com/w/wholesale-24v-led-strip-2m.html</t>
  </si>
  <si>
    <t xml:space="preserve">Match voltage to your 24V PSU</t>
  </si>
  <si>
    <t xml:space="preserve">TOTAL (confirmed items only)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</si>
</sst>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11"/>
      <color rgb="FFFF000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llow.aliexpress.com/store/group/FLY-Board/1531088_10000001215764.html" TargetMode="External"/><Relationship Id="rId2" Type="http://schemas.openxmlformats.org/officeDocument/2006/relationships/hyperlink" Target="https://www.aliexpress.com/w/wholesale-ender-3-hotend.html" TargetMode="External"/><Relationship Id="rId3" Type="http://schemas.openxmlformats.org/officeDocument/2006/relationships/hyperlink" Target="https://www.aliexpress.com/w/wholesale-200x200-heated-bed.html" TargetMode="External"/><Relationship Id="rId4" Type="http://schemas.openxmlformats.org/officeDocument/2006/relationships/hyperlink" Target="https://www.ebay.com.au/itm/134303881377" TargetMode="External"/><Relationship Id="rId5" Type="http://schemas.openxmlformats.org/officeDocument/2006/relationships/hyperlink" Target="https://www.jaycar.com.au/wire-cable/hook-up-wire" TargetMode="External"/><Relationship Id="rId6" Type="http://schemas.openxmlformats.org/officeDocument/2006/relationships/hyperlink" Target="https://www.ebay.com.au/sch/i.html?_nkw=raspberry+pi+zero+w" TargetMode="External"/><Relationship Id="rId7" Type="http://schemas.openxmlformats.org/officeDocument/2006/relationships/hyperlink" Target="https://www.ebay.com.au/sch/i.html?_nkw=logitech+c270+720p+webcam" TargetMode="External"/><Relationship Id="rId8" Type="http://schemas.openxmlformats.org/officeDocument/2006/relationships/hyperlink" Target="https://www.aliexpress.com/w/wholesale-ptfe-tube-3d-printer-coupler.html" TargetMode="External"/><Relationship Id="rId9" Type="http://schemas.openxmlformats.org/officeDocument/2006/relationships/hyperlink" Target="https://www.aliexpress.com/w/wholesale-jst-xh-connector-kit.html" TargetMode="External"/><Relationship Id="rId10" Type="http://schemas.openxmlformats.org/officeDocument/2006/relationships/hyperlink" Target="https://www.ebay.com.au/shop/led-power-supply?_nkw=led+power+supply" TargetMode="External"/><Relationship Id="rId11" Type="http://schemas.openxmlformats.org/officeDocument/2006/relationships/hyperlink" Target="https://www.aliexpress.com/w/wholesale-bambu-p1s-build-plate.html" TargetMode="External"/><Relationship Id="rId12" Type="http://schemas.openxmlformats.org/officeDocument/2006/relationships/hyperlink" Target="https://www.aliexpress.com/w/wholesale-300x300-spring-steel-sheet.html" TargetMode="External"/><Relationship Id="rId13" Type="http://schemas.openxmlformats.org/officeDocument/2006/relationships/hyperlink" Target="https://www.aliexpress.com/w/wholesale-1kg-pla-filament.html" TargetMode="External"/><Relationship Id="rId14" Type="http://schemas.openxmlformats.org/officeDocument/2006/relationships/hyperlink" Target="https://www.jaycar.com.au/cable-ties" TargetMode="External"/><Relationship Id="rId15" Type="http://schemas.openxmlformats.org/officeDocument/2006/relationships/hyperlink" Target="https://www.jaycar.com.au/m3-x-15mm-steel-screws-pack-of-25/p/HP0406" TargetMode="External"/><Relationship Id="rId16" Type="http://schemas.openxmlformats.org/officeDocument/2006/relationships/hyperlink" Target="https://www.jaycar.com.au/15mm-x-m4-round-phillips-head-steel-screws-pack-of-25/p/HP0453" TargetMode="External"/><Relationship Id="rId17" Type="http://schemas.openxmlformats.org/officeDocument/2006/relationships/hyperlink" Target="https://www.jaycar.com.au/screws-fasteners" TargetMode="External"/><Relationship Id="rId18" Type="http://schemas.openxmlformats.org/officeDocument/2006/relationships/hyperlink" Target="https://www.ebay.com.au/sch/i.html?_nkw=rj45+to+usb+adapter" TargetMode="External"/><Relationship Id="rId19" Type="http://schemas.openxmlformats.org/officeDocument/2006/relationships/hyperlink" Target="https://www.ebay.com.au/sch/i.html?_nkw=usb+hub" TargetMode="External"/><Relationship Id="rId20" Type="http://schemas.openxmlformats.org/officeDocument/2006/relationships/hyperlink" Target="https://www.jaycar.com.au/micro-usb-to-usb" TargetMode="External"/><Relationship Id="rId21" Type="http://schemas.openxmlformats.org/officeDocument/2006/relationships/hyperlink" Target="https://core-electronics.com.au/catalogsearch/result/?q=32gb+microsd" TargetMode="External"/><Relationship Id="rId22" Type="http://schemas.openxmlformats.org/officeDocument/2006/relationships/hyperlink" Target="https://www.jaycar.com.au/wire-connectors" TargetMode="External"/><Relationship Id="rId23" Type="http://schemas.openxmlformats.org/officeDocument/2006/relationships/hyperlink" Target="https://www.ebay.com.au/sch/i.html?_nkw=usb-c+cable+3+pack" TargetMode="External"/><Relationship Id="rId24" Type="http://schemas.openxmlformats.org/officeDocument/2006/relationships/hyperlink" Target="https://www.aliexpress.com/w/wholesale-24v-led-strip-2m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s">
        <v>9</v>
      </c>
      <c r="D2" s="4" t="s">
        <v>10</v>
      </c>
      <c r="E2" s="2" t="n">
        <v>1</v>
      </c>
      <c r="F2" s="5" t="str">
        <f aca="false">IF(ISNUMBER(D2),D2*E2,"")</f>
        <v/>
      </c>
      <c r="G2" s="6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3" t="s">
        <v>14</v>
      </c>
      <c r="D3" s="4" t="s">
        <v>10</v>
      </c>
      <c r="E3" s="2" t="n">
        <v>2</v>
      </c>
      <c r="F3" s="5" t="str">
        <f aca="false">IF(ISNUMBER(D3),D3*E3,"")</f>
        <v/>
      </c>
      <c r="G3" s="6" t="s">
        <v>15</v>
      </c>
    </row>
    <row r="4" customFormat="false" ht="15" hidden="false" customHeight="false" outlineLevel="0" collapsed="false">
      <c r="A4" s="2" t="s">
        <v>16</v>
      </c>
      <c r="B4" s="2" t="s">
        <v>13</v>
      </c>
      <c r="C4" s="3" t="s">
        <v>17</v>
      </c>
      <c r="D4" s="4" t="s">
        <v>10</v>
      </c>
      <c r="E4" s="2" t="n">
        <v>1</v>
      </c>
      <c r="F4" s="5" t="str">
        <f aca="false">IF(ISNUMBER(D4),D4*E4,"")</f>
        <v/>
      </c>
      <c r="G4" s="6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3" t="s">
        <v>21</v>
      </c>
      <c r="D5" s="4" t="s">
        <v>10</v>
      </c>
      <c r="E5" s="2" t="n">
        <v>2</v>
      </c>
      <c r="F5" s="5" t="str">
        <f aca="false">IF(ISNUMBER(D5),D5*E5,"")</f>
        <v/>
      </c>
      <c r="G5" s="6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3" t="s">
        <v>25</v>
      </c>
      <c r="D6" s="4" t="s">
        <v>10</v>
      </c>
      <c r="E6" s="2" t="n">
        <v>1</v>
      </c>
      <c r="F6" s="5" t="str">
        <f aca="false">IF(ISNUMBER(D6),D6*E6,"")</f>
        <v/>
      </c>
      <c r="G6" s="6" t="s">
        <v>26</v>
      </c>
    </row>
    <row r="7" customFormat="false" ht="15" hidden="false" customHeight="false" outlineLevel="0" collapsed="false">
      <c r="A7" s="2" t="s">
        <v>27</v>
      </c>
      <c r="B7" s="2" t="s">
        <v>20</v>
      </c>
      <c r="C7" s="3" t="s">
        <v>28</v>
      </c>
      <c r="D7" s="4" t="s">
        <v>10</v>
      </c>
      <c r="E7" s="2" t="n">
        <v>1</v>
      </c>
      <c r="F7" s="5" t="str">
        <f aca="false">IF(ISNUMBER(D7),D7*E7,"")</f>
        <v/>
      </c>
      <c r="G7" s="6" t="s">
        <v>29</v>
      </c>
    </row>
    <row r="8" customFormat="false" ht="15" hidden="false" customHeight="false" outlineLevel="0" collapsed="false">
      <c r="A8" s="2" t="s">
        <v>30</v>
      </c>
      <c r="B8" s="2" t="s">
        <v>20</v>
      </c>
      <c r="C8" s="3" t="s">
        <v>31</v>
      </c>
      <c r="D8" s="4" t="s">
        <v>10</v>
      </c>
      <c r="E8" s="2" t="n">
        <v>1</v>
      </c>
      <c r="F8" s="5" t="str">
        <f aca="false">IF(ISNUMBER(D8),D8*E8,"")</f>
        <v/>
      </c>
      <c r="G8" s="6" t="s">
        <v>32</v>
      </c>
    </row>
    <row r="9" customFormat="false" ht="15" hidden="false" customHeight="false" outlineLevel="0" collapsed="false">
      <c r="A9" s="2" t="s">
        <v>33</v>
      </c>
      <c r="B9" s="2" t="s">
        <v>13</v>
      </c>
      <c r="C9" s="3" t="s">
        <v>34</v>
      </c>
      <c r="D9" s="4" t="s">
        <v>10</v>
      </c>
      <c r="E9" s="2" t="n">
        <v>1</v>
      </c>
      <c r="F9" s="5" t="str">
        <f aca="false">IF(ISNUMBER(D9),D9*E9,"")</f>
        <v/>
      </c>
      <c r="G9" s="6" t="s">
        <v>35</v>
      </c>
    </row>
    <row r="10" customFormat="false" ht="15" hidden="false" customHeight="false" outlineLevel="0" collapsed="false">
      <c r="A10" s="2" t="s">
        <v>36</v>
      </c>
      <c r="B10" s="2" t="s">
        <v>13</v>
      </c>
      <c r="C10" s="3" t="s">
        <v>37</v>
      </c>
      <c r="D10" s="4" t="s">
        <v>10</v>
      </c>
      <c r="E10" s="2" t="n">
        <v>1</v>
      </c>
      <c r="F10" s="5" t="str">
        <f aca="false">IF(ISNUMBER(D10),D10*E10,"")</f>
        <v/>
      </c>
      <c r="G10" s="6" t="s">
        <v>38</v>
      </c>
    </row>
    <row r="11" customFormat="false" ht="15" hidden="false" customHeight="false" outlineLevel="0" collapsed="false">
      <c r="A11" s="2" t="s">
        <v>39</v>
      </c>
      <c r="B11" s="2" t="s">
        <v>20</v>
      </c>
      <c r="C11" s="3" t="s">
        <v>40</v>
      </c>
      <c r="D11" s="4" t="s">
        <v>10</v>
      </c>
      <c r="E11" s="2" t="n">
        <v>1</v>
      </c>
      <c r="F11" s="5" t="str">
        <f aca="false">IF(ISNUMBER(D11),D11*E11,"")</f>
        <v/>
      </c>
      <c r="G11" s="6" t="s">
        <v>41</v>
      </c>
    </row>
    <row r="12" customFormat="false" ht="15" hidden="false" customHeight="false" outlineLevel="0" collapsed="false">
      <c r="A12" s="2" t="s">
        <v>42</v>
      </c>
      <c r="B12" s="2" t="s">
        <v>13</v>
      </c>
      <c r="C12" s="3" t="s">
        <v>43</v>
      </c>
      <c r="D12" s="4" t="s">
        <v>10</v>
      </c>
      <c r="E12" s="2" t="n">
        <v>1</v>
      </c>
      <c r="F12" s="5" t="str">
        <f aca="false">IF(ISNUMBER(D12),D12*E12,"")</f>
        <v/>
      </c>
      <c r="G12" s="6" t="s">
        <v>44</v>
      </c>
    </row>
    <row r="13" customFormat="false" ht="15" hidden="false" customHeight="false" outlineLevel="0" collapsed="false">
      <c r="A13" s="2" t="s">
        <v>45</v>
      </c>
      <c r="B13" s="2" t="s">
        <v>13</v>
      </c>
      <c r="C13" s="3" t="s">
        <v>46</v>
      </c>
      <c r="D13" s="4" t="s">
        <v>10</v>
      </c>
      <c r="E13" s="2" t="n">
        <v>1</v>
      </c>
      <c r="F13" s="5" t="str">
        <f aca="false">IF(ISNUMBER(D13),D13*E13,"")</f>
        <v/>
      </c>
      <c r="G13" s="6" t="s">
        <v>47</v>
      </c>
    </row>
    <row r="14" customFormat="false" ht="15" hidden="false" customHeight="false" outlineLevel="0" collapsed="false">
      <c r="A14" s="2" t="s">
        <v>48</v>
      </c>
      <c r="B14" s="2" t="s">
        <v>13</v>
      </c>
      <c r="C14" s="3" t="s">
        <v>49</v>
      </c>
      <c r="D14" s="4" t="s">
        <v>10</v>
      </c>
      <c r="E14" s="2" t="n">
        <v>1</v>
      </c>
      <c r="F14" s="5" t="str">
        <f aca="false">IF(ISNUMBER(D14),D14*E14,"")</f>
        <v/>
      </c>
      <c r="G14" s="6" t="s">
        <v>50</v>
      </c>
    </row>
    <row r="15" customFormat="false" ht="15" hidden="false" customHeight="false" outlineLevel="0" collapsed="false">
      <c r="A15" s="2" t="s">
        <v>51</v>
      </c>
      <c r="B15" s="2" t="s">
        <v>24</v>
      </c>
      <c r="C15" s="3" t="s">
        <v>52</v>
      </c>
      <c r="D15" s="4" t="s">
        <v>10</v>
      </c>
      <c r="E15" s="2" t="n">
        <v>1</v>
      </c>
      <c r="F15" s="5" t="str">
        <f aca="false">IF(ISNUMBER(D15),D15*E15,"")</f>
        <v/>
      </c>
      <c r="G15" s="6" t="s">
        <v>53</v>
      </c>
    </row>
    <row r="16" customFormat="false" ht="15" hidden="false" customHeight="false" outlineLevel="0" collapsed="false">
      <c r="A16" s="2" t="s">
        <v>54</v>
      </c>
      <c r="B16" s="2" t="s">
        <v>24</v>
      </c>
      <c r="C16" s="3" t="s">
        <v>55</v>
      </c>
      <c r="D16" s="5" t="n">
        <v>3.5</v>
      </c>
      <c r="E16" s="2" t="n">
        <v>1</v>
      </c>
      <c r="F16" s="5" t="n">
        <f aca="false">IF(ISNUMBER(D16),D16*E16,"")</f>
        <v>3.5</v>
      </c>
      <c r="G16" s="6" t="s">
        <v>56</v>
      </c>
    </row>
    <row r="17" customFormat="false" ht="15" hidden="false" customHeight="false" outlineLevel="0" collapsed="false">
      <c r="A17" s="2" t="s">
        <v>57</v>
      </c>
      <c r="B17" s="2" t="s">
        <v>24</v>
      </c>
      <c r="C17" s="3" t="s">
        <v>58</v>
      </c>
      <c r="D17" s="5" t="n">
        <v>4.5</v>
      </c>
      <c r="E17" s="2" t="n">
        <v>1</v>
      </c>
      <c r="F17" s="5" t="n">
        <f aca="false">IF(ISNUMBER(D17),D17*E17,"")</f>
        <v>4.5</v>
      </c>
      <c r="G17" s="6" t="s">
        <v>59</v>
      </c>
    </row>
    <row r="18" customFormat="false" ht="15" hidden="false" customHeight="false" outlineLevel="0" collapsed="false">
      <c r="A18" s="2" t="s">
        <v>60</v>
      </c>
      <c r="B18" s="2" t="s">
        <v>24</v>
      </c>
      <c r="C18" s="3" t="s">
        <v>61</v>
      </c>
      <c r="D18" s="4" t="s">
        <v>10</v>
      </c>
      <c r="E18" s="2" t="n">
        <v>1</v>
      </c>
      <c r="F18" s="5" t="str">
        <f aca="false">IF(ISNUMBER(D18),D18*E18,"")</f>
        <v/>
      </c>
      <c r="G18" s="6" t="s">
        <v>62</v>
      </c>
    </row>
    <row r="19" customFormat="false" ht="15" hidden="false" customHeight="false" outlineLevel="0" collapsed="false">
      <c r="A19" s="2" t="s">
        <v>63</v>
      </c>
      <c r="B19" s="2" t="s">
        <v>20</v>
      </c>
      <c r="C19" s="3" t="s">
        <v>64</v>
      </c>
      <c r="D19" s="4" t="s">
        <v>10</v>
      </c>
      <c r="E19" s="2" t="n">
        <v>1</v>
      </c>
      <c r="F19" s="5" t="str">
        <f aca="false">IF(ISNUMBER(D19),D19*E19,"")</f>
        <v/>
      </c>
      <c r="G19" s="6" t="s">
        <v>65</v>
      </c>
    </row>
    <row r="20" customFormat="false" ht="15" hidden="false" customHeight="false" outlineLevel="0" collapsed="false">
      <c r="A20" s="2" t="s">
        <v>66</v>
      </c>
      <c r="B20" s="2" t="s">
        <v>20</v>
      </c>
      <c r="C20" s="3" t="s">
        <v>67</v>
      </c>
      <c r="D20" s="4" t="s">
        <v>10</v>
      </c>
      <c r="E20" s="2" t="n">
        <v>1</v>
      </c>
      <c r="F20" s="5" t="str">
        <f aca="false">IF(ISNUMBER(D20),D20*E20,"")</f>
        <v/>
      </c>
      <c r="G20" s="6" t="s">
        <v>68</v>
      </c>
    </row>
    <row r="21" customFormat="false" ht="15" hidden="false" customHeight="false" outlineLevel="0" collapsed="false">
      <c r="A21" s="2" t="s">
        <v>69</v>
      </c>
      <c r="B21" s="2" t="s">
        <v>24</v>
      </c>
      <c r="C21" s="3" t="s">
        <v>70</v>
      </c>
      <c r="D21" s="4" t="s">
        <v>10</v>
      </c>
      <c r="E21" s="2" t="n">
        <v>1</v>
      </c>
      <c r="F21" s="5" t="str">
        <f aca="false">IF(ISNUMBER(D21),D21*E21,"")</f>
        <v/>
      </c>
      <c r="G21" s="6" t="s">
        <v>71</v>
      </c>
    </row>
    <row r="22" customFormat="false" ht="15" hidden="false" customHeight="false" outlineLevel="0" collapsed="false">
      <c r="A22" s="2" t="s">
        <v>72</v>
      </c>
      <c r="B22" s="2" t="s">
        <v>73</v>
      </c>
      <c r="C22" s="3" t="s">
        <v>74</v>
      </c>
      <c r="D22" s="4" t="s">
        <v>10</v>
      </c>
      <c r="E22" s="2" t="n">
        <v>1</v>
      </c>
      <c r="F22" s="5" t="str">
        <f aca="false">IF(ISNUMBER(D22),D22*E22,"")</f>
        <v/>
      </c>
      <c r="G22" s="6" t="s">
        <v>75</v>
      </c>
    </row>
    <row r="23" customFormat="false" ht="15" hidden="false" customHeight="false" outlineLevel="0" collapsed="false">
      <c r="A23" s="2" t="s">
        <v>76</v>
      </c>
      <c r="B23" s="2" t="s">
        <v>24</v>
      </c>
      <c r="C23" s="3" t="s">
        <v>77</v>
      </c>
      <c r="D23" s="4" t="s">
        <v>10</v>
      </c>
      <c r="E23" s="2" t="n">
        <v>1</v>
      </c>
      <c r="F23" s="5" t="str">
        <f aca="false">IF(ISNUMBER(D23),D23*E23,"")</f>
        <v/>
      </c>
      <c r="G23" s="6" t="s">
        <v>78</v>
      </c>
    </row>
    <row r="24" customFormat="false" ht="15" hidden="false" customHeight="false" outlineLevel="0" collapsed="false">
      <c r="A24" s="2" t="s">
        <v>79</v>
      </c>
      <c r="B24" s="2" t="s">
        <v>20</v>
      </c>
      <c r="C24" s="3" t="s">
        <v>80</v>
      </c>
      <c r="D24" s="4" t="s">
        <v>10</v>
      </c>
      <c r="E24" s="2" t="n">
        <v>1</v>
      </c>
      <c r="F24" s="5" t="str">
        <f aca="false">IF(ISNUMBER(D24),D24*E24,"")</f>
        <v/>
      </c>
      <c r="G24" s="6"/>
    </row>
    <row r="25" customFormat="false" ht="15" hidden="false" customHeight="false" outlineLevel="0" collapsed="false">
      <c r="A25" s="2" t="s">
        <v>81</v>
      </c>
      <c r="B25" s="2" t="s">
        <v>13</v>
      </c>
      <c r="C25" s="3" t="s">
        <v>82</v>
      </c>
      <c r="D25" s="4" t="s">
        <v>10</v>
      </c>
      <c r="E25" s="2" t="n">
        <v>1</v>
      </c>
      <c r="F25" s="5" t="str">
        <f aca="false">IF(ISNUMBER(D25),D25*E25,"")</f>
        <v/>
      </c>
      <c r="G25" s="6" t="s">
        <v>83</v>
      </c>
    </row>
    <row r="26" customFormat="false" ht="15" hidden="false" customHeight="false" outlineLevel="0" collapsed="false">
      <c r="A26" s="7" t="s">
        <v>84</v>
      </c>
      <c r="F26" s="8" t="n">
        <f aca="false">SUM(F2:F25)</f>
        <v>8</v>
      </c>
    </row>
  </sheetData>
  <hyperlinks>
    <hyperlink ref="C2" r:id="rId1" display="https://mellow.aliexpress.com/store/group/FLY-Board/1531088_10000001215764.html"/>
    <hyperlink ref="C3" r:id="rId2" display="https://www.aliexpress.com/w/wholesale-ender-3-hotend.html"/>
    <hyperlink ref="C4" r:id="rId3" display="https://www.aliexpress.com/w/wholesale-200x200-heated-bed.html"/>
    <hyperlink ref="C5" r:id="rId4" display="https://www.ebay.com.au/itm/134303881377"/>
    <hyperlink ref="C6" r:id="rId5" display="https://www.jaycar.com.au/wire-cable/hook-up-wire"/>
    <hyperlink ref="C7" r:id="rId6" display="https://www.ebay.com.au/sch/i.html?_nkw=raspberry+pi+zero+w"/>
    <hyperlink ref="C8" r:id="rId7" display="https://www.ebay.com.au/sch/i.html?_nkw=logitech+c270+720p+webcam"/>
    <hyperlink ref="C9" r:id="rId8" display="https://www.aliexpress.com/w/wholesale-ptfe-tube-3d-printer-coupler.html"/>
    <hyperlink ref="C10" r:id="rId9" display="https://www.aliexpress.com/w/wholesale-jst-xh-connector-kit.html"/>
    <hyperlink ref="C11" r:id="rId10" display="https://www.ebay.com.au/shop/led-power-supply?_nkw=led+power+supply"/>
    <hyperlink ref="C12" r:id="rId11" display="https://www.aliexpress.com/w/wholesale-bambu-p1s-build-plate.html"/>
    <hyperlink ref="C13" r:id="rId12" display="https://www.aliexpress.com/w/wholesale-300x300-spring-steel-sheet.html"/>
    <hyperlink ref="C14" r:id="rId13" display="https://www.aliexpress.com/w/wholesale-1kg-pla-filament.html"/>
    <hyperlink ref="C15" r:id="rId14" display="https://www.jaycar.com.au/cable-ties"/>
    <hyperlink ref="C16" r:id="rId15" display="https://www.jaycar.com.au/m3-x-15mm-steel-screws-pack-of-25/p/HP0406"/>
    <hyperlink ref="C17" r:id="rId16" display="https://www.jaycar.com.au/15mm-x-m4-round-phillips-head-steel-screws-pack-of-25/p/HP0453"/>
    <hyperlink ref="C18" r:id="rId17" display="https://www.jaycar.com.au/screws-fasteners"/>
    <hyperlink ref="C19" r:id="rId18" display="https://www.ebay.com.au/sch/i.html?_nkw=rj45+to+usb+adapter"/>
    <hyperlink ref="C20" r:id="rId19" display="https://www.ebay.com.au/sch/i.html?_nkw=usb+hub"/>
    <hyperlink ref="C21" r:id="rId20" display="https://www.jaycar.com.au/micro-usb-to-usb"/>
    <hyperlink ref="C22" r:id="rId21" display="https://core-electronics.com.au/catalogsearch/result/?q=32gb+microsd"/>
    <hyperlink ref="C23" r:id="rId22" display="https://www.jaycar.com.au/wire-connectors"/>
    <hyperlink ref="C24" r:id="rId23" display="https://www.ebay.com.au/sch/i.html?_nkw=usb-c+cable+3+pack"/>
    <hyperlink ref="C25" r:id="rId24" display="https://www.aliexpress.com/w/wholesale-24v-led-strip-2m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2026-07-22T08:38:53Z</dcterms:created>
  <dc:creator>openpyxl</dc:creator>
  <dc:description/>
  <dc:language>en-US</dc:language>
  <cp:lastModifiedBy/>
  <dcterms:modified xsi:type="dcterms:W3CDTF">2026-07-22T08:38:53Z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